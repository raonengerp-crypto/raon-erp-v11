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f8c110e72f4f58c/Desktop/"/>
    </mc:Choice>
  </mc:AlternateContent>
  <xr:revisionPtr revIDLastSave="2" documentId="11_B78F6D7E96C7A52498C94F77AD5A3DDC0931A5CE" xr6:coauthVersionLast="47" xr6:coauthVersionMax="47" xr10:uidLastSave="{C9D34AA2-3873-4FC6-8533-00495FEF85D9}"/>
  <bookViews>
    <workbookView xWindow="4080" yWindow="165" windowWidth="21810" windowHeight="15405" xr2:uid="{00000000-000D-0000-FFFF-FFFF00000000}"/>
  </bookViews>
  <sheets>
    <sheet name="싱글" sheetId="1" r:id="rId1"/>
    <sheet name="멀티" sheetId="2" r:id="rId2"/>
    <sheet name="Sheet1" sheetId="3" r:id="rId3"/>
  </sheets>
  <definedNames>
    <definedName name="_xlnm.Print_Area" localSheetId="1">멀티!$A$1:$N$47</definedName>
    <definedName name="_xlnm.Print_Area" localSheetId="0">싱글!$A$1:$N$47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" i="2" l="1"/>
  <c r="L40" i="2"/>
  <c r="L39" i="2"/>
  <c r="L38" i="2"/>
  <c r="L35" i="2"/>
  <c r="L33" i="2"/>
  <c r="L32" i="2"/>
  <c r="L31" i="2"/>
  <c r="L30" i="2"/>
  <c r="L29" i="2"/>
  <c r="L28" i="2"/>
  <c r="L27" i="2"/>
  <c r="L26" i="2"/>
  <c r="L25" i="2"/>
  <c r="L22" i="2"/>
  <c r="L21" i="2"/>
  <c r="L20" i="2"/>
  <c r="L19" i="2"/>
  <c r="L18" i="2"/>
  <c r="L17" i="2"/>
  <c r="L16" i="2"/>
  <c r="L15" i="2"/>
  <c r="L14" i="2"/>
  <c r="L13" i="2"/>
  <c r="L12" i="2"/>
  <c r="L41" i="1"/>
  <c r="L40" i="1"/>
  <c r="L39" i="1"/>
  <c r="L38" i="1"/>
  <c r="L34" i="1"/>
  <c r="L33" i="1"/>
  <c r="L30" i="1"/>
  <c r="L29" i="1"/>
  <c r="L28" i="1"/>
  <c r="L27" i="1"/>
  <c r="L26" i="1"/>
  <c r="L25" i="1"/>
  <c r="L21" i="1"/>
  <c r="L20" i="1"/>
  <c r="L19" i="1"/>
  <c r="L18" i="1"/>
  <c r="L17" i="1"/>
  <c r="L16" i="1"/>
  <c r="L15" i="1"/>
  <c r="L14" i="1"/>
  <c r="L13" i="1"/>
  <c r="L12" i="1"/>
  <c r="L35" i="1" l="1"/>
  <c r="L22" i="1"/>
  <c r="F43" i="2"/>
  <c r="F43" i="1" l="1"/>
  <c r="C8" i="2"/>
  <c r="J8" i="2"/>
  <c r="F44" i="2"/>
  <c r="J8" i="1" l="1"/>
  <c r="C8" i="1"/>
  <c r="F44" i="1"/>
  <c r="F45" i="2"/>
  <c r="F45" i="1" l="1"/>
</calcChain>
</file>

<file path=xl/sharedStrings.xml><?xml version="1.0" encoding="utf-8"?>
<sst xmlns="http://schemas.openxmlformats.org/spreadsheetml/2006/main" count="189" uniqueCount="90">
  <si>
    <t>대표자</t>
  </si>
  <si>
    <t>업태</t>
  </si>
  <si>
    <t>상호</t>
  </si>
  <si>
    <t>순번</t>
  </si>
  <si>
    <t>B</t>
  </si>
  <si>
    <t>인수자</t>
  </si>
  <si>
    <t>종목</t>
  </si>
  <si>
    <t>품 목</t>
  </si>
  <si>
    <t>연락처</t>
  </si>
  <si>
    <t>(인)</t>
  </si>
  <si>
    <t>비 고</t>
  </si>
  <si>
    <t>비고</t>
  </si>
  <si>
    <t>금 액</t>
  </si>
  <si>
    <t>주소</t>
  </si>
  <si>
    <t>공급자</t>
  </si>
  <si>
    <t>A</t>
  </si>
  <si>
    <t>C</t>
  </si>
  <si>
    <t>수량</t>
  </si>
  <si>
    <t>대</t>
  </si>
  <si>
    <t>중형</t>
  </si>
  <si>
    <t>건설업</t>
  </si>
  <si>
    <t>대형</t>
  </si>
  <si>
    <t>식</t>
  </si>
  <si>
    <t>단위</t>
  </si>
  <si>
    <t>80ø</t>
  </si>
  <si>
    <t xml:space="preserve"> 기타</t>
  </si>
  <si>
    <t>분지관</t>
  </si>
  <si>
    <t>EA</t>
  </si>
  <si>
    <t>소형</t>
  </si>
  <si>
    <t>드레인</t>
  </si>
  <si>
    <t>단가</t>
  </si>
  <si>
    <t>734-86-02880</t>
  </si>
  <si>
    <t>실내기 1WAY(주거형)</t>
  </si>
  <si>
    <t>엘지 주거형 냉정 실외기</t>
  </si>
  <si>
    <t>주거형 냉방기 설치공사</t>
  </si>
  <si>
    <t>냉난방 설치 자재 및 인건비</t>
  </si>
  <si>
    <t>제품 및 컨트롤 솔루션</t>
  </si>
  <si>
    <t>순천시 구암길 6-5 1층</t>
  </si>
  <si>
    <t>061-901-7770  FAX) 061-903-8880</t>
  </si>
  <si>
    <t>견    적   서</t>
  </si>
  <si>
    <t>( 주 )라온이앤지</t>
  </si>
  <si>
    <t>실내기 설치공사</t>
  </si>
  <si>
    <t>행거 및 전산대</t>
  </si>
  <si>
    <t>15.88 ø 외 1</t>
  </si>
  <si>
    <t>공
급
자</t>
  </si>
  <si>
    <t>소　　계</t>
  </si>
  <si>
    <t>합 계 액</t>
  </si>
  <si>
    <t>㈜라온이앤지</t>
  </si>
  <si>
    <t>문 지 원</t>
  </si>
  <si>
    <t>무선리모컨</t>
  </si>
  <si>
    <t>냉난방설비공사</t>
  </si>
  <si>
    <t>공 급 가 액</t>
  </si>
  <si>
    <t>납 품 명</t>
  </si>
  <si>
    <t>규  격</t>
  </si>
  <si>
    <t>1WAY 판넬</t>
  </si>
  <si>
    <t>수  신</t>
  </si>
  <si>
    <t>RNW0721</t>
  </si>
  <si>
    <t>RNW0231</t>
  </si>
  <si>
    <t>25 ø</t>
  </si>
  <si>
    <t>납품장소</t>
  </si>
  <si>
    <t>RNW0201</t>
  </si>
  <si>
    <t>냉매배관</t>
  </si>
  <si>
    <t>납 품 일</t>
  </si>
  <si>
    <t>등록번호</t>
  </si>
  <si>
    <t>부 가 세</t>
  </si>
  <si>
    <t>RPUQ03</t>
  </si>
  <si>
    <t>냉방전용</t>
  </si>
  <si>
    <t xml:space="preserve">광양읍 </t>
  </si>
  <si>
    <t xml:space="preserve">은혜지인 </t>
  </si>
  <si>
    <t>농협 351-1285-9434-13 ㈜라온이앤지</t>
  </si>
  <si>
    <t>현장</t>
  </si>
  <si>
    <t>순천 소망교회</t>
    <phoneticPr fontId="9" type="noConversion"/>
  </si>
  <si>
    <t>냉난방기 교체  공사</t>
    <phoneticPr fontId="9" type="noConversion"/>
  </si>
  <si>
    <t>멀티 실외기</t>
    <phoneticPr fontId="9" type="noConversion"/>
  </si>
  <si>
    <t>멀티형 실내기 -4WAY</t>
    <phoneticPr fontId="9" type="noConversion"/>
  </si>
  <si>
    <t>판넬 - 4WAY</t>
    <phoneticPr fontId="9" type="noConversion"/>
  </si>
  <si>
    <t>유선리모컨 - 일반형</t>
    <phoneticPr fontId="9" type="noConversion"/>
  </si>
  <si>
    <t>실외기 받침대</t>
    <phoneticPr fontId="9" type="noConversion"/>
  </si>
  <si>
    <t>RPUW24BX9P</t>
    <phoneticPr fontId="9" type="noConversion"/>
  </si>
  <si>
    <t>RNW1301A2S</t>
    <phoneticPr fontId="9" type="noConversion"/>
  </si>
  <si>
    <t>PFP-WA4CW</t>
    <phoneticPr fontId="9" type="noConversion"/>
  </si>
  <si>
    <t>PREMTB200</t>
    <phoneticPr fontId="9" type="noConversion"/>
  </si>
  <si>
    <t>대</t>
    <phoneticPr fontId="9" type="noConversion"/>
  </si>
  <si>
    <t>EA</t>
    <phoneticPr fontId="9" type="noConversion"/>
  </si>
  <si>
    <t>실내외기 철거작업</t>
    <phoneticPr fontId="9" type="noConversion"/>
  </si>
  <si>
    <t>실외기 토출가이드</t>
    <phoneticPr fontId="9" type="noConversion"/>
  </si>
  <si>
    <t>개</t>
    <phoneticPr fontId="9" type="noConversion"/>
  </si>
  <si>
    <t>실내외기  설치비</t>
    <phoneticPr fontId="9" type="noConversion"/>
  </si>
  <si>
    <t>지게차 작업비</t>
    <phoneticPr fontId="9" type="noConversion"/>
  </si>
  <si>
    <t>식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</si>
</sst>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[$-F800]dddd\,\ mmmm\ dd\,\ yyyy"/>
    <numFmt numFmtId="177" formatCode="@&quot;님 귀하&quot;"/>
    <numFmt numFmtId="178" formatCode="[DBNum4][$-412]General&quot;원 정&quot;"/>
    <numFmt numFmtId="179" formatCode="_-&quot;( &quot;&quot;₩&quot;* #,###&quot;원 / VAT별도 )&quot;"/>
    <numFmt numFmtId="180" formatCode="&quot;(&quot;_-&quot;₩&quot;* #,##0&quot; )&quot;"/>
    <numFmt numFmtId="181" formatCode="&quot;(&quot;_-&quot;₩&quot;* #,###&quot; )&quot;"/>
  </numFmts>
  <fonts count="10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A6A6A6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u val="singleAccounting"/>
      <sz val="11"/>
      <color rgb="FF000000"/>
      <name val="맑은 고딕"/>
      <family val="3"/>
      <charset val="129"/>
    </font>
    <font>
      <u val="singleAccounting"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</fills>
  <borders count="34">
    <border>
      <left/>
      <right/>
      <top/>
      <bottom/>
      <diagonal/>
    </border>
    <border diagonalUp="1" diagonalDown="1"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 diagonalUp="1" diagonalDown="1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1" diagonalDown="1">
      <left/>
      <right style="thin">
        <color rgb="FFBFBFBF"/>
      </right>
      <top style="thin">
        <color indexed="64"/>
      </top>
      <bottom style="thin">
        <color rgb="FFBFBFBF"/>
      </bottom>
      <diagonal/>
    </border>
    <border diagonalUp="1" diagonalDown="1">
      <left/>
      <right style="thin">
        <color rgb="FFBFBFBF"/>
      </right>
      <top style="thin">
        <color rgb="FFBFBFBF"/>
      </top>
      <bottom style="thin">
        <color indexed="64"/>
      </bottom>
      <diagonal/>
    </border>
    <border diagonalUp="1" diagonalDown="1"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 diagonalUp="1" diagonalDown="1">
      <left style="thin">
        <color rgb="FFBFBFBF"/>
      </left>
      <right/>
      <top style="thin">
        <color rgb="FFBFBFBF"/>
      </top>
      <bottom style="thin">
        <color indexed="64"/>
      </bottom>
      <diagonal/>
    </border>
    <border diagonalUp="1" diagonalDown="1">
      <left/>
      <right style="thin">
        <color rgb="FFBFBFBF"/>
      </right>
      <top/>
      <bottom style="thin">
        <color rgb="FFBFBFBF"/>
      </bottom>
      <diagonal/>
    </border>
    <border diagonalUp="1" diagonalDown="1">
      <left style="thin">
        <color rgb="FFBFBFBF"/>
      </left>
      <right/>
      <top/>
      <bottom style="thin">
        <color rgb="FFBFBFBF"/>
      </bottom>
      <diagonal/>
    </border>
    <border diagonalUp="1" diagonalDown="1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thin">
        <color rgb="FFBFBFBF"/>
      </right>
      <top style="double">
        <color indexed="64"/>
      </top>
      <bottom style="thin">
        <color rgb="FFBFBFBF"/>
      </bottom>
      <diagonal/>
    </border>
    <border diagonalUp="1" diagonalDown="1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1" diagonalDown="1">
      <left style="thin">
        <color rgb="FFBFBFBF"/>
      </left>
      <right/>
      <top style="thin">
        <color rgb="FFBFBFBF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thin">
        <color rgb="FFBFBFBF"/>
      </right>
      <top style="medium">
        <color indexed="64"/>
      </top>
      <bottom style="thin">
        <color rgb="FFBFBFBF"/>
      </bottom>
      <diagonal/>
    </border>
    <border diagonalUp="1" diagonalDown="1"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 diagonalUp="1" diagonalDown="1">
      <left style="thin">
        <color rgb="FFBFBFBF"/>
      </left>
      <right/>
      <top style="medium">
        <color indexed="64"/>
      </top>
      <bottom style="thin">
        <color rgb="FFBFBFBF"/>
      </bottom>
      <diagonal/>
    </border>
    <border diagonalUp="1" diagonalDown="1">
      <left/>
      <right/>
      <top style="medium">
        <color indexed="64"/>
      </top>
      <bottom style="thin">
        <color rgb="FFBFBFBF"/>
      </bottom>
      <diagonal/>
    </border>
    <border diagonalUp="1" diagonalDown="1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 diagonalUp="1" diagonalDown="1">
      <left style="thin">
        <color rgb="FFBFBFBF"/>
      </left>
      <right/>
      <top style="thin">
        <color indexed="64"/>
      </top>
      <bottom style="thin">
        <color rgb="FFBFBFBF"/>
      </bottom>
      <diagonal/>
    </border>
    <border diagonalUp="1" diagonalDown="1">
      <left/>
      <right/>
      <top style="thin">
        <color rgb="FFBFBFBF"/>
      </top>
      <bottom/>
      <diagonal/>
    </border>
    <border diagonalUp="1" diagonalDown="1">
      <left/>
      <right style="thin">
        <color rgb="FFBFBFBF"/>
      </right>
      <top style="thin">
        <color rgb="FFBFBFBF"/>
      </top>
      <bottom/>
      <diagonal/>
    </border>
    <border diagonalUp="1" diagonalDown="1">
      <left style="thin">
        <color rgb="FFBFBFBF"/>
      </left>
      <right/>
      <top/>
      <bottom style="thin">
        <color indexed="64"/>
      </bottom>
      <diagonal/>
    </border>
    <border diagonalUp="1" diagonalDown="1">
      <left/>
      <right style="thin">
        <color rgb="FFBFBFBF"/>
      </right>
      <top/>
      <bottom style="thin">
        <color indexed="64"/>
      </bottom>
      <diagonal/>
    </border>
    <border diagonalUp="1" diagonalDown="1">
      <left/>
      <right/>
      <top style="thin">
        <color rgb="FFBFBFBF"/>
      </top>
      <bottom style="thin">
        <color rgb="FFBFBFBF"/>
      </bottom>
      <diagonal/>
    </border>
    <border diagonalUp="1" diagonalDown="1">
      <left style="thin">
        <color rgb="FFBFBFBF"/>
      </left>
      <right style="thin">
        <color rgb="FFBFBFBF"/>
      </right>
      <top style="double">
        <color indexed="64"/>
      </top>
      <bottom style="thin">
        <color rgb="FFBFBFBF"/>
      </bottom>
      <diagonal/>
    </border>
    <border diagonalUp="1" diagonalDown="1">
      <left style="thin">
        <color rgb="FFBFBFBF"/>
      </left>
      <right/>
      <top style="double">
        <color indexed="64"/>
      </top>
      <bottom style="thin">
        <color rgb="FFBFBFBF"/>
      </bottom>
      <diagonal/>
    </border>
    <border diagonalUp="1" diagonalDown="1">
      <left/>
      <right/>
      <top style="thin">
        <color rgb="FFBFBFBF"/>
      </top>
      <bottom style="thin">
        <color indexed="64"/>
      </bottom>
      <diagonal/>
    </border>
    <border diagonalUp="1" diagonalDown="1">
      <left/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8" fillId="0" borderId="0">
      <alignment vertical="center"/>
    </xf>
    <xf numFmtId="42" fontId="8" fillId="0" borderId="0">
      <alignment vertical="center"/>
    </xf>
  </cellStyleXfs>
  <cellXfs count="108">
    <xf numFmtId="0" fontId="0" fillId="0" borderId="0" xfId="0"/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41" fontId="8" fillId="0" borderId="1" xfId="1" applyBorder="1">
      <alignment vertical="center"/>
    </xf>
    <xf numFmtId="41" fontId="8" fillId="0" borderId="2" xfId="1" applyBorder="1">
      <alignment vertical="center"/>
    </xf>
    <xf numFmtId="0" fontId="0" fillId="2" borderId="5" xfId="0" applyFill="1" applyBorder="1" applyAlignment="1">
      <alignment vertical="center"/>
    </xf>
    <xf numFmtId="41" fontId="8" fillId="0" borderId="12" xfId="1" applyBorder="1">
      <alignment vertical="center"/>
    </xf>
    <xf numFmtId="0" fontId="0" fillId="3" borderId="14" xfId="0" applyFill="1" applyBorder="1"/>
    <xf numFmtId="0" fontId="3" fillId="3" borderId="0" xfId="0" applyFont="1" applyFill="1" applyAlignment="1">
      <alignment horizontal="left" vertical="top"/>
    </xf>
    <xf numFmtId="0" fontId="3" fillId="3" borderId="15" xfId="0" applyFont="1" applyFill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1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81" fontId="2" fillId="3" borderId="0" xfId="2" applyNumberFormat="1" applyFont="1" applyFill="1" applyAlignment="1">
      <alignment horizontal="center" vertical="top"/>
    </xf>
    <xf numFmtId="0" fontId="2" fillId="3" borderId="15" xfId="0" applyFont="1" applyFill="1" applyBorder="1" applyAlignment="1">
      <alignment vertical="center"/>
    </xf>
    <xf numFmtId="181" fontId="2" fillId="3" borderId="15" xfId="2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15" xfId="0" applyFont="1" applyFill="1" applyBorder="1" applyAlignment="1">
      <alignment horizontal="right" vertical="center"/>
    </xf>
    <xf numFmtId="180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81" fontId="6" fillId="3" borderId="15" xfId="2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center"/>
    </xf>
    <xf numFmtId="0" fontId="0" fillId="3" borderId="10" xfId="0" applyFill="1" applyBorder="1" applyAlignment="1">
      <alignment horizontal="right" vertical="center"/>
    </xf>
    <xf numFmtId="42" fontId="8" fillId="3" borderId="10" xfId="2" applyFill="1" applyBorder="1" applyAlignment="1">
      <alignment horizontal="center" vertical="center"/>
    </xf>
    <xf numFmtId="0" fontId="2" fillId="3" borderId="14" xfId="0" applyFont="1" applyFill="1" applyBorder="1" applyAlignment="1">
      <alignment horizontal="right" vertical="center"/>
    </xf>
    <xf numFmtId="180" fontId="2" fillId="3" borderId="14" xfId="0" applyNumberFormat="1" applyFont="1" applyFill="1" applyBorder="1" applyAlignment="1">
      <alignment horizontal="center" vertical="center"/>
    </xf>
    <xf numFmtId="180" fontId="2" fillId="3" borderId="14" xfId="2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80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81" fontId="7" fillId="3" borderId="0" xfId="2" applyNumberFormat="1" applyFont="1" applyFill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8" fillId="0" borderId="1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41" fontId="8" fillId="0" borderId="1" xfId="1" quotePrefix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5" fillId="2" borderId="22" xfId="0" applyFont="1" applyFill="1" applyBorder="1" applyAlignment="1">
      <alignment horizontal="center" vertical="center"/>
    </xf>
    <xf numFmtId="178" fontId="0" fillId="3" borderId="22" xfId="0" applyNumberFormat="1" applyFill="1" applyBorder="1" applyAlignment="1">
      <alignment horizontal="right" vertical="center"/>
    </xf>
    <xf numFmtId="179" fontId="8" fillId="3" borderId="22" xfId="2" applyNumberFormat="1" applyFill="1" applyBorder="1" applyAlignment="1">
      <alignment horizontal="right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2" xfId="0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76" fontId="0" fillId="0" borderId="18" xfId="0" applyNumberFormat="1" applyBorder="1" applyAlignment="1">
      <alignment horizontal="right"/>
    </xf>
    <xf numFmtId="176" fontId="0" fillId="0" borderId="19" xfId="0" applyNumberFormat="1" applyBorder="1" applyAlignment="1">
      <alignment horizontal="right"/>
    </xf>
    <xf numFmtId="0" fontId="0" fillId="2" borderId="1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77" fontId="1" fillId="0" borderId="2" xfId="0" applyNumberFormat="1" applyFont="1" applyBorder="1" applyAlignment="1">
      <alignment horizontal="right"/>
    </xf>
    <xf numFmtId="177" fontId="0" fillId="0" borderId="2" xfId="0" applyNumberFormat="1" applyBorder="1" applyAlignment="1">
      <alignment horizontal="right"/>
    </xf>
    <xf numFmtId="177" fontId="0" fillId="0" borderId="9" xfId="0" applyNumberForma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0" fillId="3" borderId="27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542925</xdr:colOff>
      <xdr:row>42</xdr:row>
      <xdr:rowOff>28575</xdr:rowOff>
    </xdr:from>
    <xdr:to>
      <xdr:col>13</xdr:col>
      <xdr:colOff>628650</xdr:colOff>
      <xdr:row>44</xdr:row>
      <xdr:rowOff>19050</xdr:rowOff>
    </xdr:to>
    <xdr:pic>
      <xdr:nvPicPr>
        <xdr:cNvPr id="2" name="_x52948104" descr="EMB0000706060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6877050" y="9467850"/>
          <a:ext cx="666750" cy="542925"/>
        </a:xfrm>
        <a:prstGeom prst="rect">
          <a:avLst/>
        </a:prstGeom>
        <a:noFill/>
      </xdr:spPr>
    </xdr:pic>
    <xdr:clientData/>
  </xdr:twoCellAnchor>
  <xdr:twoCellAnchor>
    <xdr:from>
      <xdr:col>13</xdr:col>
      <xdr:colOff>38100</xdr:colOff>
      <xdr:row>1</xdr:row>
      <xdr:rowOff>161925</xdr:rowOff>
    </xdr:from>
    <xdr:to>
      <xdr:col>14</xdr:col>
      <xdr:colOff>0</xdr:colOff>
      <xdr:row>3</xdr:row>
      <xdr:rowOff>219075</xdr:rowOff>
    </xdr:to>
    <xdr:pic>
      <xdr:nvPicPr>
        <xdr:cNvPr id="3" name="_x52948344" descr="EMB00007060604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6953250" y="609600"/>
          <a:ext cx="619125" cy="5905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542925</xdr:colOff>
      <xdr:row>42</xdr:row>
      <xdr:rowOff>28575</xdr:rowOff>
    </xdr:from>
    <xdr:to>
      <xdr:col>13</xdr:col>
      <xdr:colOff>628650</xdr:colOff>
      <xdr:row>44</xdr:row>
      <xdr:rowOff>19050</xdr:rowOff>
    </xdr:to>
    <xdr:pic>
      <xdr:nvPicPr>
        <xdr:cNvPr id="7" name="_x52948104" descr="EMB00007060604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6877050" y="9182100"/>
          <a:ext cx="666750" cy="542925"/>
        </a:xfrm>
        <a:prstGeom prst="rect">
          <a:avLst/>
        </a:prstGeom>
        <a:noFill/>
      </xdr:spPr>
    </xdr:pic>
    <xdr:clientData/>
  </xdr:twoCellAnchor>
  <xdr:twoCellAnchor>
    <xdr:from>
      <xdr:col>13</xdr:col>
      <xdr:colOff>38100</xdr:colOff>
      <xdr:row>1</xdr:row>
      <xdr:rowOff>161925</xdr:rowOff>
    </xdr:from>
    <xdr:to>
      <xdr:col>14</xdr:col>
      <xdr:colOff>0</xdr:colOff>
      <xdr:row>3</xdr:row>
      <xdr:rowOff>219075</xdr:rowOff>
    </xdr:to>
    <xdr:pic>
      <xdr:nvPicPr>
        <xdr:cNvPr id="6" name="_x52948344" descr="EMB00007060604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6953250" y="609600"/>
          <a:ext cx="619125" cy="5905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7"/>
  <sheetViews>
    <sheetView tabSelected="1" view="pageBreakPreview" zoomScale="75" zoomScaleNormal="100" zoomScaleSheetLayoutView="75" workbookViewId="0">
      <selection activeCell="R47" sqref="R47"/>
    </sheetView>
  </sheetViews>
  <sheetFormatPr defaultColWidth="9" defaultRowHeight="16.5" x14ac:dyDescent="0.3"/>
  <cols>
    <col min="1" max="1" width="4.625" customWidth="1"/>
    <col min="2" max="2" width="5.625" customWidth="1"/>
    <col min="3" max="4" width="8.625" customWidth="1"/>
    <col min="5" max="6" width="4.625" customWidth="1"/>
    <col min="7" max="7" width="5.625" customWidth="1"/>
    <col min="8" max="8" width="8.875" customWidth="1"/>
    <col min="9" max="10" width="5.625" customWidth="1"/>
    <col min="11" max="11" width="13" bestFit="1" customWidth="1"/>
    <col min="12" max="12" width="7.625" customWidth="1"/>
    <col min="13" max="13" width="7.625" style="16" customWidth="1"/>
    <col min="14" max="14" width="8.625" customWidth="1"/>
  </cols>
  <sheetData>
    <row r="1" spans="1:14" ht="35.1" customHeight="1" x14ac:dyDescent="0.3">
      <c r="A1" s="88" t="s">
        <v>39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 ht="21.95" customHeight="1" x14ac:dyDescent="0.3">
      <c r="A2" s="89" t="s">
        <v>62</v>
      </c>
      <c r="B2" s="90"/>
      <c r="C2" s="91">
        <v>46156</v>
      </c>
      <c r="D2" s="91"/>
      <c r="E2" s="91"/>
      <c r="F2" s="91"/>
      <c r="G2" s="92"/>
      <c r="H2" s="93" t="s">
        <v>44</v>
      </c>
      <c r="I2" s="94" t="s">
        <v>63</v>
      </c>
      <c r="J2" s="94"/>
      <c r="K2" s="95" t="s">
        <v>31</v>
      </c>
      <c r="L2" s="96"/>
      <c r="M2" s="96"/>
      <c r="N2" s="96"/>
    </row>
    <row r="3" spans="1:14" ht="20.100000000000001" customHeight="1" x14ac:dyDescent="0.3">
      <c r="A3" s="70" t="s">
        <v>55</v>
      </c>
      <c r="B3" s="71"/>
      <c r="C3" s="97" t="s">
        <v>71</v>
      </c>
      <c r="D3" s="98"/>
      <c r="E3" s="98"/>
      <c r="F3" s="98"/>
      <c r="G3" s="99"/>
      <c r="H3" s="75"/>
      <c r="I3" s="75" t="s">
        <v>2</v>
      </c>
      <c r="J3" s="75"/>
      <c r="K3" s="3" t="s">
        <v>47</v>
      </c>
      <c r="L3" s="4" t="s">
        <v>0</v>
      </c>
      <c r="M3" s="100" t="s">
        <v>48</v>
      </c>
      <c r="N3" s="101"/>
    </row>
    <row r="4" spans="1:14" ht="20.100000000000001" customHeight="1" x14ac:dyDescent="0.3">
      <c r="A4" s="70" t="s">
        <v>52</v>
      </c>
      <c r="B4" s="71"/>
      <c r="C4" s="72" t="s">
        <v>72</v>
      </c>
      <c r="D4" s="73"/>
      <c r="E4" s="73"/>
      <c r="F4" s="73"/>
      <c r="G4" s="74"/>
      <c r="H4" s="75"/>
      <c r="I4" s="75" t="s">
        <v>13</v>
      </c>
      <c r="J4" s="75"/>
      <c r="K4" s="50" t="s">
        <v>37</v>
      </c>
      <c r="L4" s="50"/>
      <c r="M4" s="50"/>
      <c r="N4" s="60"/>
    </row>
    <row r="5" spans="1:14" ht="20.100000000000001" customHeight="1" x14ac:dyDescent="0.3">
      <c r="A5" s="70" t="s">
        <v>59</v>
      </c>
      <c r="B5" s="71"/>
      <c r="C5" s="78" t="s">
        <v>70</v>
      </c>
      <c r="D5" s="79"/>
      <c r="E5" s="79"/>
      <c r="F5" s="79"/>
      <c r="G5" s="80"/>
      <c r="H5" s="75"/>
      <c r="I5" s="75" t="s">
        <v>1</v>
      </c>
      <c r="J5" s="75"/>
      <c r="K5" s="5" t="s">
        <v>20</v>
      </c>
      <c r="L5" s="2" t="s">
        <v>6</v>
      </c>
      <c r="M5" s="84" t="s">
        <v>50</v>
      </c>
      <c r="N5" s="85"/>
    </row>
    <row r="6" spans="1:14" ht="20.100000000000001" customHeight="1" x14ac:dyDescent="0.3">
      <c r="A6" s="76"/>
      <c r="B6" s="77"/>
      <c r="C6" s="81"/>
      <c r="D6" s="82"/>
      <c r="E6" s="82"/>
      <c r="F6" s="82"/>
      <c r="G6" s="83"/>
      <c r="H6" s="54"/>
      <c r="I6" s="54" t="s">
        <v>8</v>
      </c>
      <c r="J6" s="54"/>
      <c r="K6" s="86" t="s">
        <v>38</v>
      </c>
      <c r="L6" s="86"/>
      <c r="M6" s="86"/>
      <c r="N6" s="87"/>
    </row>
    <row r="7" spans="1:14" ht="5.0999999999999996" customHeight="1" x14ac:dyDescent="0.3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</row>
    <row r="8" spans="1:14" ht="30" customHeight="1" x14ac:dyDescent="0.3">
      <c r="A8" s="65" t="s">
        <v>12</v>
      </c>
      <c r="B8" s="65"/>
      <c r="C8" s="66">
        <f>F43</f>
        <v>20560000</v>
      </c>
      <c r="D8" s="66"/>
      <c r="E8" s="66"/>
      <c r="F8" s="66"/>
      <c r="G8" s="66"/>
      <c r="H8" s="66"/>
      <c r="I8" s="66"/>
      <c r="J8" s="67">
        <f>F43</f>
        <v>20560000</v>
      </c>
      <c r="K8" s="67"/>
      <c r="L8" s="67"/>
      <c r="M8" s="67"/>
      <c r="N8" s="67"/>
    </row>
    <row r="9" spans="1:14" ht="5.0999999999999996" customHeight="1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14" x14ac:dyDescent="0.3">
      <c r="A10" s="6" t="s">
        <v>15</v>
      </c>
      <c r="B10" s="68" t="s">
        <v>36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9"/>
    </row>
    <row r="11" spans="1:14" x14ac:dyDescent="0.3">
      <c r="A11" s="7" t="s">
        <v>3</v>
      </c>
      <c r="B11" s="54" t="s">
        <v>7</v>
      </c>
      <c r="C11" s="54"/>
      <c r="D11" s="54"/>
      <c r="E11" s="54"/>
      <c r="F11" s="54" t="s">
        <v>53</v>
      </c>
      <c r="G11" s="54"/>
      <c r="H11" s="54"/>
      <c r="I11" s="1" t="s">
        <v>23</v>
      </c>
      <c r="J11" s="19" t="s">
        <v>17</v>
      </c>
      <c r="K11" s="19" t="s">
        <v>30</v>
      </c>
      <c r="L11" s="54" t="s">
        <v>12</v>
      </c>
      <c r="M11" s="54"/>
      <c r="N11" s="8" t="s">
        <v>11</v>
      </c>
    </row>
    <row r="12" spans="1:14" x14ac:dyDescent="0.3">
      <c r="A12" s="9">
        <v>1</v>
      </c>
      <c r="B12" s="55" t="s">
        <v>73</v>
      </c>
      <c r="C12" s="51"/>
      <c r="D12" s="51"/>
      <c r="E12" s="51"/>
      <c r="F12" s="55" t="s">
        <v>78</v>
      </c>
      <c r="G12" s="51"/>
      <c r="H12" s="51"/>
      <c r="I12" s="31" t="s">
        <v>82</v>
      </c>
      <c r="J12" s="17">
        <v>1</v>
      </c>
      <c r="K12" s="17">
        <v>11220000</v>
      </c>
      <c r="L12" s="52">
        <f>J12*K12</f>
        <v>11220000</v>
      </c>
      <c r="M12" s="52"/>
      <c r="N12" s="10"/>
    </row>
    <row r="13" spans="1:14" x14ac:dyDescent="0.3">
      <c r="A13" s="9">
        <v>2</v>
      </c>
      <c r="B13" s="63" t="s">
        <v>74</v>
      </c>
      <c r="C13" s="61"/>
      <c r="D13" s="61"/>
      <c r="E13" s="62"/>
      <c r="F13" s="55" t="s">
        <v>79</v>
      </c>
      <c r="G13" s="51"/>
      <c r="H13" s="51"/>
      <c r="I13" s="31" t="s">
        <v>82</v>
      </c>
      <c r="J13" s="17">
        <v>5</v>
      </c>
      <c r="K13" s="17">
        <v>736000</v>
      </c>
      <c r="L13" s="52">
        <f t="shared" ref="L13:L21" si="0">J13*K13</f>
        <v>3680000</v>
      </c>
      <c r="M13" s="52"/>
      <c r="N13" s="10"/>
    </row>
    <row r="14" spans="1:14" x14ac:dyDescent="0.3">
      <c r="A14" s="9">
        <v>3</v>
      </c>
      <c r="B14" s="63" t="s">
        <v>75</v>
      </c>
      <c r="C14" s="61"/>
      <c r="D14" s="61"/>
      <c r="E14" s="62"/>
      <c r="F14" s="59" t="s">
        <v>80</v>
      </c>
      <c r="G14" s="50"/>
      <c r="H14" s="50"/>
      <c r="I14" s="31" t="s">
        <v>82</v>
      </c>
      <c r="J14" s="18">
        <v>5</v>
      </c>
      <c r="K14" s="18">
        <v>134000</v>
      </c>
      <c r="L14" s="52">
        <f t="shared" si="0"/>
        <v>670000</v>
      </c>
      <c r="M14" s="52"/>
      <c r="N14" s="11"/>
    </row>
    <row r="15" spans="1:14" x14ac:dyDescent="0.3">
      <c r="A15" s="9">
        <v>4</v>
      </c>
      <c r="B15" s="63" t="s">
        <v>76</v>
      </c>
      <c r="C15" s="61"/>
      <c r="D15" s="61"/>
      <c r="E15" s="62"/>
      <c r="F15" s="59" t="s">
        <v>81</v>
      </c>
      <c r="G15" s="50"/>
      <c r="H15" s="50"/>
      <c r="I15" s="31" t="s">
        <v>82</v>
      </c>
      <c r="J15" s="18">
        <v>5</v>
      </c>
      <c r="K15" s="18">
        <v>70000</v>
      </c>
      <c r="L15" s="52">
        <f t="shared" si="0"/>
        <v>350000</v>
      </c>
      <c r="M15" s="52"/>
      <c r="N15" s="11"/>
    </row>
    <row r="16" spans="1:14" x14ac:dyDescent="0.3">
      <c r="A16" s="9">
        <v>5</v>
      </c>
      <c r="B16" s="60"/>
      <c r="C16" s="61"/>
      <c r="D16" s="61"/>
      <c r="E16" s="62"/>
      <c r="F16" s="50"/>
      <c r="G16" s="50"/>
      <c r="H16" s="50"/>
      <c r="I16" s="3"/>
      <c r="J16" s="18"/>
      <c r="K16" s="18"/>
      <c r="L16" s="52">
        <f t="shared" si="0"/>
        <v>0</v>
      </c>
      <c r="M16" s="52"/>
      <c r="N16" s="11"/>
    </row>
    <row r="17" spans="1:14" x14ac:dyDescent="0.3">
      <c r="A17" s="9">
        <v>6</v>
      </c>
      <c r="B17" s="60"/>
      <c r="C17" s="61"/>
      <c r="D17" s="61"/>
      <c r="E17" s="62"/>
      <c r="F17" s="51"/>
      <c r="G17" s="51"/>
      <c r="H17" s="51"/>
      <c r="I17" s="3"/>
      <c r="J17" s="18"/>
      <c r="K17" s="18"/>
      <c r="L17" s="52">
        <f t="shared" si="0"/>
        <v>0</v>
      </c>
      <c r="M17" s="52"/>
      <c r="N17" s="11"/>
    </row>
    <row r="18" spans="1:14" x14ac:dyDescent="0.3">
      <c r="A18" s="9">
        <v>7</v>
      </c>
      <c r="B18" s="60"/>
      <c r="C18" s="61"/>
      <c r="D18" s="61"/>
      <c r="E18" s="62"/>
      <c r="F18" s="51"/>
      <c r="G18" s="51"/>
      <c r="H18" s="51"/>
      <c r="I18" s="5"/>
      <c r="J18" s="18"/>
      <c r="K18" s="18"/>
      <c r="L18" s="52">
        <f t="shared" si="0"/>
        <v>0</v>
      </c>
      <c r="M18" s="52"/>
      <c r="N18" s="11"/>
    </row>
    <row r="19" spans="1:14" x14ac:dyDescent="0.3">
      <c r="A19" s="9">
        <v>8</v>
      </c>
      <c r="B19" s="50"/>
      <c r="C19" s="50"/>
      <c r="D19" s="50"/>
      <c r="E19" s="50"/>
      <c r="F19" s="50"/>
      <c r="G19" s="50"/>
      <c r="H19" s="50"/>
      <c r="I19" s="5"/>
      <c r="J19" s="18"/>
      <c r="K19" s="18"/>
      <c r="L19" s="52">
        <f t="shared" si="0"/>
        <v>0</v>
      </c>
      <c r="M19" s="52"/>
      <c r="N19" s="11"/>
    </row>
    <row r="20" spans="1:14" x14ac:dyDescent="0.3">
      <c r="A20" s="9">
        <v>9</v>
      </c>
      <c r="B20" s="50"/>
      <c r="C20" s="50"/>
      <c r="D20" s="50"/>
      <c r="E20" s="50"/>
      <c r="F20" s="50"/>
      <c r="G20" s="50"/>
      <c r="H20" s="50"/>
      <c r="I20" s="5"/>
      <c r="J20" s="18"/>
      <c r="K20" s="18"/>
      <c r="L20" s="52">
        <f t="shared" si="0"/>
        <v>0</v>
      </c>
      <c r="M20" s="52"/>
      <c r="N20" s="11"/>
    </row>
    <row r="21" spans="1:14" x14ac:dyDescent="0.3">
      <c r="A21" s="9">
        <v>10</v>
      </c>
      <c r="B21" s="50"/>
      <c r="C21" s="50"/>
      <c r="D21" s="50"/>
      <c r="E21" s="50"/>
      <c r="F21" s="50"/>
      <c r="G21" s="50"/>
      <c r="H21" s="50"/>
      <c r="I21" s="5"/>
      <c r="J21" s="18"/>
      <c r="K21" s="18"/>
      <c r="L21" s="52">
        <f t="shared" si="0"/>
        <v>0</v>
      </c>
      <c r="M21" s="52"/>
      <c r="N21" s="11"/>
    </row>
    <row r="22" spans="1:14" ht="20.100000000000001" customHeight="1" x14ac:dyDescent="0.3">
      <c r="A22" s="41" t="s">
        <v>45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2">
        <f>SUM(L12:M21)</f>
        <v>15920000</v>
      </c>
      <c r="M22" s="42"/>
      <c r="N22" s="12"/>
    </row>
    <row r="23" spans="1:14" x14ac:dyDescent="0.3">
      <c r="A23" s="13" t="s">
        <v>4</v>
      </c>
      <c r="B23" s="56" t="s">
        <v>35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7"/>
    </row>
    <row r="24" spans="1:14" x14ac:dyDescent="0.3">
      <c r="A24" s="7" t="s">
        <v>3</v>
      </c>
      <c r="B24" s="54" t="s">
        <v>7</v>
      </c>
      <c r="C24" s="54"/>
      <c r="D24" s="54"/>
      <c r="E24" s="54"/>
      <c r="F24" s="54" t="s">
        <v>53</v>
      </c>
      <c r="G24" s="54"/>
      <c r="H24" s="54"/>
      <c r="I24" s="1" t="s">
        <v>23</v>
      </c>
      <c r="J24" s="19" t="s">
        <v>17</v>
      </c>
      <c r="K24" s="19" t="s">
        <v>30</v>
      </c>
      <c r="L24" s="54" t="s">
        <v>12</v>
      </c>
      <c r="M24" s="54"/>
      <c r="N24" s="8" t="s">
        <v>11</v>
      </c>
    </row>
    <row r="25" spans="1:14" x14ac:dyDescent="0.3">
      <c r="A25" s="9">
        <v>1</v>
      </c>
      <c r="B25" s="55" t="s">
        <v>84</v>
      </c>
      <c r="C25" s="51"/>
      <c r="D25" s="51"/>
      <c r="E25" s="51"/>
      <c r="F25" s="51"/>
      <c r="G25" s="51"/>
      <c r="H25" s="51"/>
      <c r="I25" s="31" t="s">
        <v>83</v>
      </c>
      <c r="J25" s="17">
        <v>6</v>
      </c>
      <c r="K25" s="17">
        <v>150000</v>
      </c>
      <c r="L25" s="52">
        <f>J25*K25</f>
        <v>900000</v>
      </c>
      <c r="M25" s="52"/>
      <c r="N25" s="10"/>
    </row>
    <row r="26" spans="1:14" x14ac:dyDescent="0.3">
      <c r="A26" s="9">
        <v>2</v>
      </c>
      <c r="B26" s="59" t="s">
        <v>87</v>
      </c>
      <c r="C26" s="50"/>
      <c r="D26" s="50"/>
      <c r="E26" s="50"/>
      <c r="F26" s="51"/>
      <c r="G26" s="51"/>
      <c r="H26" s="51"/>
      <c r="I26" s="31" t="s">
        <v>82</v>
      </c>
      <c r="J26" s="18">
        <v>6</v>
      </c>
      <c r="K26" s="18">
        <v>500000</v>
      </c>
      <c r="L26" s="52">
        <f t="shared" ref="L26:L34" si="1">J26*K26</f>
        <v>3000000</v>
      </c>
      <c r="M26" s="52"/>
      <c r="N26" s="11"/>
    </row>
    <row r="27" spans="1:14" x14ac:dyDescent="0.3">
      <c r="A27" s="9">
        <v>3</v>
      </c>
      <c r="B27" s="59" t="s">
        <v>85</v>
      </c>
      <c r="C27" s="50"/>
      <c r="D27" s="50"/>
      <c r="E27" s="50"/>
      <c r="F27" s="50"/>
      <c r="G27" s="50"/>
      <c r="H27" s="50"/>
      <c r="I27" s="31" t="s">
        <v>86</v>
      </c>
      <c r="J27" s="18">
        <v>2</v>
      </c>
      <c r="K27" s="18">
        <v>245000</v>
      </c>
      <c r="L27" s="52">
        <f t="shared" ref="L27:L28" si="2">J27*K27</f>
        <v>490000</v>
      </c>
      <c r="M27" s="52"/>
      <c r="N27" s="11"/>
    </row>
    <row r="28" spans="1:14" x14ac:dyDescent="0.3">
      <c r="A28" s="9">
        <v>4</v>
      </c>
      <c r="B28" s="59" t="s">
        <v>88</v>
      </c>
      <c r="C28" s="50"/>
      <c r="D28" s="50"/>
      <c r="E28" s="50"/>
      <c r="F28" s="50"/>
      <c r="G28" s="50"/>
      <c r="H28" s="50"/>
      <c r="I28" s="32" t="s">
        <v>89</v>
      </c>
      <c r="J28" s="18">
        <v>1</v>
      </c>
      <c r="K28" s="18">
        <v>100000</v>
      </c>
      <c r="L28" s="52">
        <f t="shared" si="2"/>
        <v>100000</v>
      </c>
      <c r="M28" s="52"/>
      <c r="N28" s="11"/>
    </row>
    <row r="29" spans="1:14" x14ac:dyDescent="0.3">
      <c r="A29" s="9">
        <v>5</v>
      </c>
      <c r="B29" s="50"/>
      <c r="C29" s="50"/>
      <c r="D29" s="50"/>
      <c r="E29" s="50"/>
      <c r="F29" s="50"/>
      <c r="G29" s="50"/>
      <c r="H29" s="50"/>
      <c r="I29" s="5"/>
      <c r="J29" s="18"/>
      <c r="K29" s="18"/>
      <c r="L29" s="52">
        <f>J29*K29</f>
        <v>0</v>
      </c>
      <c r="M29" s="52"/>
      <c r="N29" s="11"/>
    </row>
    <row r="30" spans="1:14" x14ac:dyDescent="0.3">
      <c r="A30" s="9">
        <v>6</v>
      </c>
      <c r="B30" s="50"/>
      <c r="C30" s="50"/>
      <c r="D30" s="50"/>
      <c r="E30" s="50"/>
      <c r="F30" s="50"/>
      <c r="G30" s="50"/>
      <c r="H30" s="50"/>
      <c r="I30" s="5"/>
      <c r="J30" s="18"/>
      <c r="K30" s="18"/>
      <c r="L30" s="52">
        <f>J30*K30</f>
        <v>0</v>
      </c>
      <c r="M30" s="52"/>
      <c r="N30" s="11"/>
    </row>
    <row r="31" spans="1:14" x14ac:dyDescent="0.3">
      <c r="A31" s="9">
        <v>4</v>
      </c>
      <c r="B31" s="50"/>
      <c r="C31" s="50"/>
      <c r="D31" s="50"/>
      <c r="E31" s="50"/>
      <c r="F31" s="50"/>
      <c r="G31" s="50"/>
      <c r="H31" s="50"/>
      <c r="I31" s="5"/>
      <c r="J31" s="18"/>
      <c r="K31" s="18"/>
      <c r="L31" s="52"/>
      <c r="M31" s="52"/>
      <c r="N31" s="11"/>
    </row>
    <row r="32" spans="1:14" x14ac:dyDescent="0.3">
      <c r="A32" s="9">
        <v>5</v>
      </c>
      <c r="B32" s="50"/>
      <c r="C32" s="50"/>
      <c r="D32" s="50"/>
      <c r="E32" s="50"/>
      <c r="F32" s="50"/>
      <c r="G32" s="50"/>
      <c r="H32" s="50"/>
      <c r="I32" s="5"/>
      <c r="J32" s="18"/>
      <c r="K32" s="18"/>
      <c r="L32" s="58"/>
      <c r="M32" s="52"/>
      <c r="N32" s="11"/>
    </row>
    <row r="33" spans="1:14" x14ac:dyDescent="0.3">
      <c r="A33" s="9">
        <v>6</v>
      </c>
      <c r="B33" s="50"/>
      <c r="C33" s="50"/>
      <c r="D33" s="50"/>
      <c r="E33" s="50"/>
      <c r="F33" s="50"/>
      <c r="G33" s="50"/>
      <c r="H33" s="50"/>
      <c r="I33" s="5"/>
      <c r="J33" s="18"/>
      <c r="K33" s="18"/>
      <c r="L33" s="52">
        <f t="shared" si="1"/>
        <v>0</v>
      </c>
      <c r="M33" s="52"/>
      <c r="N33" s="11"/>
    </row>
    <row r="34" spans="1:14" x14ac:dyDescent="0.3">
      <c r="A34" s="9">
        <v>7</v>
      </c>
      <c r="B34" s="53"/>
      <c r="C34" s="53"/>
      <c r="D34" s="53"/>
      <c r="E34" s="53"/>
      <c r="F34" s="53"/>
      <c r="G34" s="53"/>
      <c r="H34" s="53"/>
      <c r="I34" s="14"/>
      <c r="J34" s="20"/>
      <c r="K34" s="20"/>
      <c r="L34" s="52">
        <f t="shared" si="1"/>
        <v>0</v>
      </c>
      <c r="M34" s="52"/>
      <c r="N34" s="15"/>
    </row>
    <row r="35" spans="1:14" x14ac:dyDescent="0.3">
      <c r="A35" s="41" t="s">
        <v>45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2">
        <f>SUM(L25:M34)</f>
        <v>4490000</v>
      </c>
      <c r="M35" s="42"/>
      <c r="N35" s="12"/>
    </row>
    <row r="36" spans="1:14" x14ac:dyDescent="0.3">
      <c r="A36" s="13" t="s">
        <v>16</v>
      </c>
      <c r="B36" s="56" t="s">
        <v>25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7"/>
    </row>
    <row r="37" spans="1:14" x14ac:dyDescent="0.3">
      <c r="A37" s="7" t="s">
        <v>3</v>
      </c>
      <c r="B37" s="54" t="s">
        <v>7</v>
      </c>
      <c r="C37" s="54"/>
      <c r="D37" s="54"/>
      <c r="E37" s="54"/>
      <c r="F37" s="54" t="s">
        <v>53</v>
      </c>
      <c r="G37" s="54"/>
      <c r="H37" s="54"/>
      <c r="I37" s="1" t="s">
        <v>23</v>
      </c>
      <c r="J37" s="19" t="s">
        <v>17</v>
      </c>
      <c r="K37" s="19" t="s">
        <v>30</v>
      </c>
      <c r="L37" s="54" t="s">
        <v>12</v>
      </c>
      <c r="M37" s="54"/>
      <c r="N37" s="8" t="s">
        <v>11</v>
      </c>
    </row>
    <row r="38" spans="1:14" x14ac:dyDescent="0.3">
      <c r="A38" s="9">
        <v>1</v>
      </c>
      <c r="B38" s="55" t="s">
        <v>77</v>
      </c>
      <c r="C38" s="51"/>
      <c r="D38" s="51"/>
      <c r="E38" s="51"/>
      <c r="F38" s="51">
        <v>1240</v>
      </c>
      <c r="G38" s="51"/>
      <c r="H38" s="51"/>
      <c r="I38" s="31" t="s">
        <v>83</v>
      </c>
      <c r="J38" s="17">
        <v>1</v>
      </c>
      <c r="K38" s="17">
        <v>150000</v>
      </c>
      <c r="L38" s="52">
        <f>J38*K38</f>
        <v>150000</v>
      </c>
      <c r="M38" s="52"/>
      <c r="N38" s="10"/>
    </row>
    <row r="39" spans="1:14" x14ac:dyDescent="0.3">
      <c r="A39" s="9">
        <v>2</v>
      </c>
      <c r="B39" s="50"/>
      <c r="C39" s="50"/>
      <c r="D39" s="50"/>
      <c r="E39" s="50"/>
      <c r="F39" s="51"/>
      <c r="G39" s="51"/>
      <c r="H39" s="51"/>
      <c r="I39" s="3"/>
      <c r="J39" s="18"/>
      <c r="K39" s="18"/>
      <c r="L39" s="52">
        <f t="shared" ref="L39:L40" si="3">J39*K39</f>
        <v>0</v>
      </c>
      <c r="M39" s="52"/>
      <c r="N39" s="11"/>
    </row>
    <row r="40" spans="1:14" x14ac:dyDescent="0.3">
      <c r="A40" s="9">
        <v>3</v>
      </c>
      <c r="B40" s="53"/>
      <c r="C40" s="53"/>
      <c r="D40" s="53"/>
      <c r="E40" s="53"/>
      <c r="F40" s="53"/>
      <c r="G40" s="53"/>
      <c r="H40" s="53"/>
      <c r="I40" s="14"/>
      <c r="J40" s="20"/>
      <c r="K40" s="20"/>
      <c r="L40" s="52">
        <f t="shared" si="3"/>
        <v>0</v>
      </c>
      <c r="M40" s="52"/>
      <c r="N40" s="15"/>
    </row>
    <row r="41" spans="1:14" x14ac:dyDescent="0.3">
      <c r="A41" s="41" t="s">
        <v>45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2">
        <f>SUM(L38:M40)</f>
        <v>150000</v>
      </c>
      <c r="M41" s="42"/>
      <c r="N41" s="12"/>
    </row>
    <row r="42" spans="1:14" ht="30" customHeight="1" x14ac:dyDescent="0.3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1:14" ht="21.95" customHeight="1" x14ac:dyDescent="0.3">
      <c r="A43" s="43" t="s">
        <v>51</v>
      </c>
      <c r="B43" s="43"/>
      <c r="C43" s="43"/>
      <c r="D43" s="43"/>
      <c r="E43" s="43"/>
      <c r="F43" s="44">
        <f>L22+L35+L41</f>
        <v>20560000</v>
      </c>
      <c r="G43" s="44"/>
      <c r="H43" s="44"/>
      <c r="I43" s="44"/>
      <c r="J43" s="26"/>
      <c r="K43" s="45"/>
      <c r="L43" s="45"/>
      <c r="M43" s="45"/>
      <c r="N43" s="21"/>
    </row>
    <row r="44" spans="1:14" ht="21.95" customHeight="1" x14ac:dyDescent="0.3">
      <c r="A44" s="46" t="s">
        <v>64</v>
      </c>
      <c r="B44" s="46"/>
      <c r="C44" s="46"/>
      <c r="D44" s="46"/>
      <c r="E44" s="46"/>
      <c r="F44" s="47">
        <f>F43*10%</f>
        <v>2056000</v>
      </c>
      <c r="G44" s="48"/>
      <c r="H44" s="48"/>
      <c r="I44" s="48"/>
      <c r="J44" s="27"/>
      <c r="K44" s="28" t="s">
        <v>14</v>
      </c>
      <c r="L44" s="49" t="s">
        <v>40</v>
      </c>
      <c r="M44" s="49"/>
      <c r="N44" s="22"/>
    </row>
    <row r="45" spans="1:14" ht="21.95" customHeight="1" x14ac:dyDescent="0.3">
      <c r="A45" s="33" t="s">
        <v>46</v>
      </c>
      <c r="B45" s="33"/>
      <c r="C45" s="33"/>
      <c r="D45" s="33"/>
      <c r="E45" s="33"/>
      <c r="F45" s="34">
        <f>F43+F44</f>
        <v>22616000</v>
      </c>
      <c r="G45" s="35"/>
      <c r="H45" s="35"/>
      <c r="I45" s="35"/>
      <c r="J45" s="29"/>
      <c r="K45" s="30" t="s">
        <v>5</v>
      </c>
      <c r="L45" s="36"/>
      <c r="M45" s="36"/>
      <c r="N45" s="23" t="s">
        <v>9</v>
      </c>
    </row>
    <row r="46" spans="1:14" ht="5.0999999999999996" customHeight="1" x14ac:dyDescent="0.3"/>
    <row r="47" spans="1:14" ht="20.100000000000001" customHeight="1" x14ac:dyDescent="0.3">
      <c r="A47" s="37" t="s">
        <v>10</v>
      </c>
      <c r="B47" s="38"/>
      <c r="C47" s="39" t="s">
        <v>69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</row>
  </sheetData>
  <mergeCells count="124">
    <mergeCell ref="A1:N1"/>
    <mergeCell ref="A2:B2"/>
    <mergeCell ref="C2:G2"/>
    <mergeCell ref="H2:H6"/>
    <mergeCell ref="I2:J2"/>
    <mergeCell ref="K2:N2"/>
    <mergeCell ref="A3:B3"/>
    <mergeCell ref="C3:G3"/>
    <mergeCell ref="I3:J3"/>
    <mergeCell ref="M3:N3"/>
    <mergeCell ref="A7:N7"/>
    <mergeCell ref="A8:B8"/>
    <mergeCell ref="C8:I8"/>
    <mergeCell ref="J8:N8"/>
    <mergeCell ref="A9:N9"/>
    <mergeCell ref="B10:N10"/>
    <mergeCell ref="A4:B4"/>
    <mergeCell ref="C4:G4"/>
    <mergeCell ref="I4:J4"/>
    <mergeCell ref="K4:N4"/>
    <mergeCell ref="A5:B6"/>
    <mergeCell ref="C5:G6"/>
    <mergeCell ref="I5:J5"/>
    <mergeCell ref="M5:N5"/>
    <mergeCell ref="I6:J6"/>
    <mergeCell ref="K6:N6"/>
    <mergeCell ref="B13:E13"/>
    <mergeCell ref="F13:H13"/>
    <mergeCell ref="L13:M13"/>
    <mergeCell ref="B14:E14"/>
    <mergeCell ref="F14:H14"/>
    <mergeCell ref="L14:M14"/>
    <mergeCell ref="B11:E11"/>
    <mergeCell ref="F11:H11"/>
    <mergeCell ref="L11:M11"/>
    <mergeCell ref="B12:E12"/>
    <mergeCell ref="F12:H12"/>
    <mergeCell ref="L12:M12"/>
    <mergeCell ref="B17:E17"/>
    <mergeCell ref="F17:H17"/>
    <mergeCell ref="L17:M17"/>
    <mergeCell ref="B18:E18"/>
    <mergeCell ref="F18:H18"/>
    <mergeCell ref="L18:M18"/>
    <mergeCell ref="B15:E15"/>
    <mergeCell ref="F15:H15"/>
    <mergeCell ref="L15:M15"/>
    <mergeCell ref="B16:E16"/>
    <mergeCell ref="F16:H16"/>
    <mergeCell ref="L16:M16"/>
    <mergeCell ref="B21:E21"/>
    <mergeCell ref="F21:H21"/>
    <mergeCell ref="L21:M21"/>
    <mergeCell ref="A22:K22"/>
    <mergeCell ref="L22:M22"/>
    <mergeCell ref="B23:N23"/>
    <mergeCell ref="B19:E19"/>
    <mergeCell ref="F19:H19"/>
    <mergeCell ref="L19:M19"/>
    <mergeCell ref="B20:E20"/>
    <mergeCell ref="F20:H20"/>
    <mergeCell ref="L20:M20"/>
    <mergeCell ref="B26:E26"/>
    <mergeCell ref="F26:H26"/>
    <mergeCell ref="L26:M26"/>
    <mergeCell ref="B27:E27"/>
    <mergeCell ref="F27:H27"/>
    <mergeCell ref="L27:M27"/>
    <mergeCell ref="B24:E24"/>
    <mergeCell ref="F24:H24"/>
    <mergeCell ref="L24:M24"/>
    <mergeCell ref="B25:E25"/>
    <mergeCell ref="F25:H25"/>
    <mergeCell ref="L25:M25"/>
    <mergeCell ref="B30:E30"/>
    <mergeCell ref="F30:H30"/>
    <mergeCell ref="L30:M30"/>
    <mergeCell ref="B31:E31"/>
    <mergeCell ref="F31:H31"/>
    <mergeCell ref="L31:M31"/>
    <mergeCell ref="B28:E28"/>
    <mergeCell ref="F28:H28"/>
    <mergeCell ref="L28:M28"/>
    <mergeCell ref="B29:E29"/>
    <mergeCell ref="F29:H29"/>
    <mergeCell ref="L29:M29"/>
    <mergeCell ref="B34:E34"/>
    <mergeCell ref="F34:H34"/>
    <mergeCell ref="L34:M34"/>
    <mergeCell ref="A35:K35"/>
    <mergeCell ref="L35:M35"/>
    <mergeCell ref="B36:N36"/>
    <mergeCell ref="B32:E32"/>
    <mergeCell ref="F32:H32"/>
    <mergeCell ref="L32:M32"/>
    <mergeCell ref="B33:E33"/>
    <mergeCell ref="F33:H33"/>
    <mergeCell ref="L33:M33"/>
    <mergeCell ref="B39:E39"/>
    <mergeCell ref="F39:H39"/>
    <mergeCell ref="L39:M39"/>
    <mergeCell ref="B40:E40"/>
    <mergeCell ref="F40:H40"/>
    <mergeCell ref="L40:M40"/>
    <mergeCell ref="B37:E37"/>
    <mergeCell ref="F37:H37"/>
    <mergeCell ref="L37:M37"/>
    <mergeCell ref="B38:E38"/>
    <mergeCell ref="F38:H38"/>
    <mergeCell ref="L38:M38"/>
    <mergeCell ref="A45:E45"/>
    <mergeCell ref="F45:I45"/>
    <mergeCell ref="L45:M45"/>
    <mergeCell ref="A47:B47"/>
    <mergeCell ref="C47:N47"/>
    <mergeCell ref="A42:N42"/>
    <mergeCell ref="A41:K41"/>
    <mergeCell ref="L41:M41"/>
    <mergeCell ref="A43:E43"/>
    <mergeCell ref="F43:I43"/>
    <mergeCell ref="K43:M43"/>
    <mergeCell ref="A44:E44"/>
    <mergeCell ref="F44:I44"/>
    <mergeCell ref="L44:M44"/>
  </mergeCells>
  <phoneticPr fontId="9" type="noConversion"/>
  <pageMargins left="0" right="0" top="0" bottom="0" header="0" footer="0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47"/>
  <sheetViews>
    <sheetView zoomScaleNormal="100" zoomScaleSheetLayoutView="75" workbookViewId="0">
      <selection activeCell="B12" sqref="B12:H18"/>
    </sheetView>
  </sheetViews>
  <sheetFormatPr defaultColWidth="9" defaultRowHeight="16.5" x14ac:dyDescent="0.3"/>
  <cols>
    <col min="1" max="1" width="4.625" customWidth="1"/>
    <col min="2" max="2" width="5.625" customWidth="1"/>
    <col min="3" max="4" width="8.625" customWidth="1"/>
    <col min="5" max="6" width="4.625" customWidth="1"/>
    <col min="7" max="7" width="5.625" customWidth="1"/>
    <col min="8" max="8" width="8.875" customWidth="1"/>
    <col min="9" max="10" width="5.625" customWidth="1"/>
    <col min="11" max="11" width="13" bestFit="1" customWidth="1"/>
    <col min="12" max="12" width="7.625" customWidth="1"/>
    <col min="13" max="13" width="7.625" style="16" customWidth="1"/>
    <col min="14" max="14" width="8.625" customWidth="1"/>
  </cols>
  <sheetData>
    <row r="1" spans="1:14" ht="35.1" customHeight="1" x14ac:dyDescent="0.3">
      <c r="A1" s="88" t="s">
        <v>39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 ht="21.95" customHeight="1" x14ac:dyDescent="0.3">
      <c r="A2" s="89" t="s">
        <v>62</v>
      </c>
      <c r="B2" s="90"/>
      <c r="C2" s="91">
        <v>45929</v>
      </c>
      <c r="D2" s="91"/>
      <c r="E2" s="91"/>
      <c r="F2" s="91"/>
      <c r="G2" s="92"/>
      <c r="H2" s="93" t="s">
        <v>44</v>
      </c>
      <c r="I2" s="94" t="s">
        <v>63</v>
      </c>
      <c r="J2" s="94"/>
      <c r="K2" s="95" t="s">
        <v>31</v>
      </c>
      <c r="L2" s="96"/>
      <c r="M2" s="96"/>
      <c r="N2" s="96"/>
    </row>
    <row r="3" spans="1:14" ht="20.100000000000001" customHeight="1" x14ac:dyDescent="0.3">
      <c r="A3" s="70" t="s">
        <v>55</v>
      </c>
      <c r="B3" s="71"/>
      <c r="C3" s="98" t="s">
        <v>68</v>
      </c>
      <c r="D3" s="98"/>
      <c r="E3" s="98"/>
      <c r="F3" s="98"/>
      <c r="G3" s="99"/>
      <c r="H3" s="75"/>
      <c r="I3" s="75" t="s">
        <v>2</v>
      </c>
      <c r="J3" s="75"/>
      <c r="K3" s="3" t="s">
        <v>47</v>
      </c>
      <c r="L3" s="4" t="s">
        <v>0</v>
      </c>
      <c r="M3" s="100" t="s">
        <v>48</v>
      </c>
      <c r="N3" s="101"/>
    </row>
    <row r="4" spans="1:14" ht="20.100000000000001" customHeight="1" x14ac:dyDescent="0.3">
      <c r="A4" s="70" t="s">
        <v>52</v>
      </c>
      <c r="B4" s="71"/>
      <c r="C4" s="73" t="s">
        <v>34</v>
      </c>
      <c r="D4" s="73"/>
      <c r="E4" s="73"/>
      <c r="F4" s="73"/>
      <c r="G4" s="74"/>
      <c r="H4" s="75"/>
      <c r="I4" s="75" t="s">
        <v>13</v>
      </c>
      <c r="J4" s="75"/>
      <c r="K4" s="50" t="s">
        <v>37</v>
      </c>
      <c r="L4" s="50"/>
      <c r="M4" s="50"/>
      <c r="N4" s="60"/>
    </row>
    <row r="5" spans="1:14" ht="20.100000000000001" customHeight="1" x14ac:dyDescent="0.3">
      <c r="A5" s="70" t="s">
        <v>59</v>
      </c>
      <c r="B5" s="71"/>
      <c r="C5" s="102" t="s">
        <v>67</v>
      </c>
      <c r="D5" s="103"/>
      <c r="E5" s="103"/>
      <c r="F5" s="103"/>
      <c r="G5" s="104"/>
      <c r="H5" s="75"/>
      <c r="I5" s="75" t="s">
        <v>1</v>
      </c>
      <c r="J5" s="75"/>
      <c r="K5" s="5" t="s">
        <v>20</v>
      </c>
      <c r="L5" s="2" t="s">
        <v>6</v>
      </c>
      <c r="M5" s="84" t="s">
        <v>50</v>
      </c>
      <c r="N5" s="85"/>
    </row>
    <row r="6" spans="1:14" ht="20.100000000000001" customHeight="1" x14ac:dyDescent="0.3">
      <c r="A6" s="76"/>
      <c r="B6" s="77"/>
      <c r="C6" s="105"/>
      <c r="D6" s="106"/>
      <c r="E6" s="106"/>
      <c r="F6" s="106"/>
      <c r="G6" s="107"/>
      <c r="H6" s="54"/>
      <c r="I6" s="54" t="s">
        <v>8</v>
      </c>
      <c r="J6" s="54"/>
      <c r="K6" s="86" t="s">
        <v>38</v>
      </c>
      <c r="L6" s="86"/>
      <c r="M6" s="86"/>
      <c r="N6" s="87"/>
    </row>
    <row r="7" spans="1:14" ht="5.0999999999999996" customHeight="1" x14ac:dyDescent="0.3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</row>
    <row r="8" spans="1:14" ht="30" customHeight="1" x14ac:dyDescent="0.3">
      <c r="A8" s="65" t="s">
        <v>12</v>
      </c>
      <c r="B8" s="65"/>
      <c r="C8" s="66">
        <f>F43</f>
        <v>3507000</v>
      </c>
      <c r="D8" s="66"/>
      <c r="E8" s="66"/>
      <c r="F8" s="66"/>
      <c r="G8" s="66"/>
      <c r="H8" s="66"/>
      <c r="I8" s="66"/>
      <c r="J8" s="67">
        <f>F43</f>
        <v>3507000</v>
      </c>
      <c r="K8" s="67"/>
      <c r="L8" s="67"/>
      <c r="M8" s="67"/>
      <c r="N8" s="67"/>
    </row>
    <row r="9" spans="1:14" ht="5.0999999999999996" customHeight="1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</row>
    <row r="10" spans="1:14" x14ac:dyDescent="0.3">
      <c r="A10" s="6" t="s">
        <v>15</v>
      </c>
      <c r="B10" s="68" t="s">
        <v>36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9"/>
    </row>
    <row r="11" spans="1:14" x14ac:dyDescent="0.3">
      <c r="A11" s="7" t="s">
        <v>3</v>
      </c>
      <c r="B11" s="54" t="s">
        <v>7</v>
      </c>
      <c r="C11" s="54"/>
      <c r="D11" s="54"/>
      <c r="E11" s="54"/>
      <c r="F11" s="54" t="s">
        <v>53</v>
      </c>
      <c r="G11" s="54"/>
      <c r="H11" s="54"/>
      <c r="I11" s="1" t="s">
        <v>23</v>
      </c>
      <c r="J11" s="19" t="s">
        <v>17</v>
      </c>
      <c r="K11" s="19" t="s">
        <v>30</v>
      </c>
      <c r="L11" s="54" t="s">
        <v>12</v>
      </c>
      <c r="M11" s="54"/>
      <c r="N11" s="8" t="s">
        <v>11</v>
      </c>
    </row>
    <row r="12" spans="1:14" x14ac:dyDescent="0.3">
      <c r="A12" s="9">
        <v>1</v>
      </c>
      <c r="B12" s="51" t="s">
        <v>33</v>
      </c>
      <c r="C12" s="51"/>
      <c r="D12" s="51"/>
      <c r="E12" s="51"/>
      <c r="F12" s="51" t="s">
        <v>65</v>
      </c>
      <c r="G12" s="51"/>
      <c r="H12" s="51"/>
      <c r="I12" s="3" t="s">
        <v>18</v>
      </c>
      <c r="J12" s="17">
        <v>1</v>
      </c>
      <c r="K12" s="17">
        <v>915000</v>
      </c>
      <c r="L12" s="52">
        <f>J12*K12</f>
        <v>915000</v>
      </c>
      <c r="M12" s="52"/>
      <c r="N12" s="10"/>
    </row>
    <row r="13" spans="1:14" x14ac:dyDescent="0.3">
      <c r="A13" s="9">
        <v>2</v>
      </c>
      <c r="B13" s="51" t="s">
        <v>32</v>
      </c>
      <c r="C13" s="51"/>
      <c r="D13" s="51"/>
      <c r="E13" s="51"/>
      <c r="F13" s="51" t="s">
        <v>56</v>
      </c>
      <c r="G13" s="51"/>
      <c r="H13" s="51"/>
      <c r="I13" s="3" t="s">
        <v>18</v>
      </c>
      <c r="J13" s="17">
        <v>1</v>
      </c>
      <c r="K13" s="17">
        <v>507000</v>
      </c>
      <c r="L13" s="52">
        <f t="shared" ref="L13:L21" si="0">J13*K13</f>
        <v>507000</v>
      </c>
      <c r="M13" s="52"/>
      <c r="N13" s="10"/>
    </row>
    <row r="14" spans="1:14" x14ac:dyDescent="0.3">
      <c r="A14" s="9">
        <v>3</v>
      </c>
      <c r="B14" s="51" t="s">
        <v>32</v>
      </c>
      <c r="C14" s="51"/>
      <c r="D14" s="51"/>
      <c r="E14" s="51"/>
      <c r="F14" s="51" t="s">
        <v>57</v>
      </c>
      <c r="G14" s="51"/>
      <c r="H14" s="51"/>
      <c r="I14" s="3" t="s">
        <v>18</v>
      </c>
      <c r="J14" s="18"/>
      <c r="K14" s="18">
        <v>330000</v>
      </c>
      <c r="L14" s="52">
        <f t="shared" si="0"/>
        <v>0</v>
      </c>
      <c r="M14" s="52"/>
      <c r="N14" s="11"/>
    </row>
    <row r="15" spans="1:14" x14ac:dyDescent="0.3">
      <c r="A15" s="9">
        <v>4</v>
      </c>
      <c r="B15" s="51" t="s">
        <v>32</v>
      </c>
      <c r="C15" s="51"/>
      <c r="D15" s="51"/>
      <c r="E15" s="51"/>
      <c r="F15" s="50" t="s">
        <v>60</v>
      </c>
      <c r="G15" s="50"/>
      <c r="H15" s="50"/>
      <c r="I15" s="3" t="s">
        <v>18</v>
      </c>
      <c r="J15" s="18">
        <v>1</v>
      </c>
      <c r="K15" s="18">
        <v>328000</v>
      </c>
      <c r="L15" s="52">
        <f t="shared" si="0"/>
        <v>328000</v>
      </c>
      <c r="M15" s="52"/>
      <c r="N15" s="11"/>
    </row>
    <row r="16" spans="1:14" x14ac:dyDescent="0.3">
      <c r="A16" s="9">
        <v>5</v>
      </c>
      <c r="B16" s="50" t="s">
        <v>54</v>
      </c>
      <c r="C16" s="50"/>
      <c r="D16" s="50"/>
      <c r="E16" s="50"/>
      <c r="F16" s="50" t="s">
        <v>21</v>
      </c>
      <c r="G16" s="50"/>
      <c r="H16" s="50"/>
      <c r="I16" s="3" t="s">
        <v>18</v>
      </c>
      <c r="J16" s="18">
        <v>1</v>
      </c>
      <c r="K16" s="18">
        <v>102000</v>
      </c>
      <c r="L16" s="52">
        <f t="shared" si="0"/>
        <v>102000</v>
      </c>
      <c r="M16" s="52"/>
      <c r="N16" s="11"/>
    </row>
    <row r="17" spans="1:14" x14ac:dyDescent="0.3">
      <c r="A17" s="9">
        <v>6</v>
      </c>
      <c r="B17" s="50" t="s">
        <v>54</v>
      </c>
      <c r="C17" s="50"/>
      <c r="D17" s="50"/>
      <c r="E17" s="50"/>
      <c r="F17" s="50" t="s">
        <v>19</v>
      </c>
      <c r="G17" s="50"/>
      <c r="H17" s="50"/>
      <c r="I17" s="3" t="s">
        <v>18</v>
      </c>
      <c r="J17" s="18">
        <v>1</v>
      </c>
      <c r="K17" s="18">
        <v>82000</v>
      </c>
      <c r="L17" s="52">
        <f t="shared" si="0"/>
        <v>82000</v>
      </c>
      <c r="M17" s="52"/>
      <c r="N17" s="11"/>
    </row>
    <row r="18" spans="1:14" x14ac:dyDescent="0.3">
      <c r="A18" s="9">
        <v>7</v>
      </c>
      <c r="B18" s="50" t="s">
        <v>49</v>
      </c>
      <c r="C18" s="50"/>
      <c r="D18" s="50"/>
      <c r="E18" s="50"/>
      <c r="F18" s="51" t="s">
        <v>66</v>
      </c>
      <c r="G18" s="51"/>
      <c r="H18" s="51"/>
      <c r="I18" s="5" t="s">
        <v>18</v>
      </c>
      <c r="J18" s="18">
        <v>2</v>
      </c>
      <c r="K18" s="18">
        <v>21000</v>
      </c>
      <c r="L18" s="52">
        <f t="shared" si="0"/>
        <v>42000</v>
      </c>
      <c r="M18" s="52"/>
      <c r="N18" s="11"/>
    </row>
    <row r="19" spans="1:14" x14ac:dyDescent="0.3">
      <c r="A19" s="9">
        <v>8</v>
      </c>
      <c r="B19" s="50"/>
      <c r="C19" s="50"/>
      <c r="D19" s="50"/>
      <c r="E19" s="50"/>
      <c r="F19" s="50"/>
      <c r="G19" s="50"/>
      <c r="H19" s="50"/>
      <c r="I19" s="5"/>
      <c r="J19" s="18"/>
      <c r="K19" s="18"/>
      <c r="L19" s="52">
        <f t="shared" si="0"/>
        <v>0</v>
      </c>
      <c r="M19" s="52"/>
      <c r="N19" s="11"/>
    </row>
    <row r="20" spans="1:14" x14ac:dyDescent="0.3">
      <c r="A20" s="9">
        <v>9</v>
      </c>
      <c r="B20" s="50"/>
      <c r="C20" s="50"/>
      <c r="D20" s="50"/>
      <c r="E20" s="50"/>
      <c r="F20" s="50"/>
      <c r="G20" s="50"/>
      <c r="H20" s="50"/>
      <c r="I20" s="5"/>
      <c r="J20" s="18"/>
      <c r="K20" s="18"/>
      <c r="L20" s="52">
        <f t="shared" si="0"/>
        <v>0</v>
      </c>
      <c r="M20" s="52"/>
      <c r="N20" s="11"/>
    </row>
    <row r="21" spans="1:14" x14ac:dyDescent="0.3">
      <c r="A21" s="9">
        <v>10</v>
      </c>
      <c r="B21" s="50"/>
      <c r="C21" s="50"/>
      <c r="D21" s="50"/>
      <c r="E21" s="50"/>
      <c r="F21" s="50"/>
      <c r="G21" s="50"/>
      <c r="H21" s="50"/>
      <c r="I21" s="5"/>
      <c r="J21" s="18"/>
      <c r="K21" s="18"/>
      <c r="L21" s="52">
        <f t="shared" si="0"/>
        <v>0</v>
      </c>
      <c r="M21" s="52"/>
      <c r="N21" s="11"/>
    </row>
    <row r="22" spans="1:14" ht="20.100000000000001" customHeight="1" x14ac:dyDescent="0.3">
      <c r="A22" s="41" t="s">
        <v>45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2">
        <f>SUM(L12:M21)</f>
        <v>1976000</v>
      </c>
      <c r="M22" s="42"/>
      <c r="N22" s="12"/>
    </row>
    <row r="23" spans="1:14" x14ac:dyDescent="0.3">
      <c r="A23" s="13" t="s">
        <v>4</v>
      </c>
      <c r="B23" s="56" t="s">
        <v>35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7"/>
    </row>
    <row r="24" spans="1:14" x14ac:dyDescent="0.3">
      <c r="A24" s="7" t="s">
        <v>3</v>
      </c>
      <c r="B24" s="54" t="s">
        <v>7</v>
      </c>
      <c r="C24" s="54"/>
      <c r="D24" s="54"/>
      <c r="E24" s="54"/>
      <c r="F24" s="54" t="s">
        <v>53</v>
      </c>
      <c r="G24" s="54"/>
      <c r="H24" s="54"/>
      <c r="I24" s="1" t="s">
        <v>23</v>
      </c>
      <c r="J24" s="19" t="s">
        <v>17</v>
      </c>
      <c r="K24" s="19" t="s">
        <v>30</v>
      </c>
      <c r="L24" s="54" t="s">
        <v>12</v>
      </c>
      <c r="M24" s="54"/>
      <c r="N24" s="8" t="s">
        <v>11</v>
      </c>
    </row>
    <row r="25" spans="1:14" x14ac:dyDescent="0.3">
      <c r="A25" s="9">
        <v>1</v>
      </c>
      <c r="B25" s="51" t="s">
        <v>61</v>
      </c>
      <c r="C25" s="51"/>
      <c r="D25" s="51"/>
      <c r="E25" s="51"/>
      <c r="F25" s="51" t="s">
        <v>43</v>
      </c>
      <c r="G25" s="51"/>
      <c r="H25" s="51"/>
      <c r="I25" s="3" t="s">
        <v>22</v>
      </c>
      <c r="J25" s="17">
        <v>2</v>
      </c>
      <c r="K25" s="17">
        <v>250000</v>
      </c>
      <c r="L25" s="52">
        <f>J25*K25</f>
        <v>500000</v>
      </c>
      <c r="M25" s="52"/>
      <c r="N25" s="10"/>
    </row>
    <row r="26" spans="1:14" x14ac:dyDescent="0.3">
      <c r="A26" s="9">
        <v>2</v>
      </c>
      <c r="B26" s="50" t="s">
        <v>29</v>
      </c>
      <c r="C26" s="50"/>
      <c r="D26" s="50"/>
      <c r="E26" s="50"/>
      <c r="F26" s="51" t="s">
        <v>58</v>
      </c>
      <c r="G26" s="51"/>
      <c r="H26" s="51"/>
      <c r="I26" s="3" t="s">
        <v>22</v>
      </c>
      <c r="J26" s="18">
        <v>2</v>
      </c>
      <c r="K26" s="18">
        <v>90000</v>
      </c>
      <c r="L26" s="52">
        <f t="shared" ref="L26:L33" si="1">J26*K26</f>
        <v>180000</v>
      </c>
      <c r="M26" s="52"/>
      <c r="N26" s="11"/>
    </row>
    <row r="27" spans="1:14" x14ac:dyDescent="0.3">
      <c r="A27" s="9">
        <v>3</v>
      </c>
      <c r="B27" s="50" t="s">
        <v>42</v>
      </c>
      <c r="C27" s="50"/>
      <c r="D27" s="50"/>
      <c r="E27" s="50"/>
      <c r="F27" s="50" t="s">
        <v>24</v>
      </c>
      <c r="G27" s="50"/>
      <c r="H27" s="50"/>
      <c r="I27" s="3" t="s">
        <v>22</v>
      </c>
      <c r="J27" s="18">
        <v>2</v>
      </c>
      <c r="K27" s="18">
        <v>100000</v>
      </c>
      <c r="L27" s="52">
        <f t="shared" si="1"/>
        <v>200000</v>
      </c>
      <c r="M27" s="52"/>
      <c r="N27" s="11"/>
    </row>
    <row r="28" spans="1:14" x14ac:dyDescent="0.3">
      <c r="A28" s="9">
        <v>4</v>
      </c>
      <c r="B28" s="50" t="s">
        <v>26</v>
      </c>
      <c r="C28" s="50"/>
      <c r="D28" s="50"/>
      <c r="E28" s="50"/>
      <c r="F28" s="51" t="s">
        <v>28</v>
      </c>
      <c r="G28" s="51"/>
      <c r="H28" s="51"/>
      <c r="I28" s="5" t="s">
        <v>27</v>
      </c>
      <c r="J28" s="18">
        <v>1</v>
      </c>
      <c r="K28" s="18">
        <v>51000</v>
      </c>
      <c r="L28" s="52">
        <f>J28*K28</f>
        <v>51000</v>
      </c>
      <c r="M28" s="52"/>
      <c r="N28" s="11"/>
    </row>
    <row r="29" spans="1:14" x14ac:dyDescent="0.3">
      <c r="A29" s="9">
        <v>5</v>
      </c>
      <c r="B29" s="50" t="s">
        <v>41</v>
      </c>
      <c r="C29" s="50"/>
      <c r="D29" s="50"/>
      <c r="E29" s="50"/>
      <c r="F29" s="50"/>
      <c r="G29" s="50"/>
      <c r="H29" s="50"/>
      <c r="I29" s="5" t="s">
        <v>18</v>
      </c>
      <c r="J29" s="18">
        <v>2</v>
      </c>
      <c r="K29" s="18">
        <v>300000</v>
      </c>
      <c r="L29" s="52">
        <f t="shared" si="1"/>
        <v>600000</v>
      </c>
      <c r="M29" s="52"/>
      <c r="N29" s="11"/>
    </row>
    <row r="30" spans="1:14" x14ac:dyDescent="0.3">
      <c r="A30" s="9">
        <v>6</v>
      </c>
      <c r="B30" s="50"/>
      <c r="C30" s="50"/>
      <c r="D30" s="50"/>
      <c r="E30" s="50"/>
      <c r="F30" s="50"/>
      <c r="G30" s="50"/>
      <c r="H30" s="50"/>
      <c r="I30" s="5"/>
      <c r="J30" s="18"/>
      <c r="K30" s="18"/>
      <c r="L30" s="52">
        <f t="shared" si="1"/>
        <v>0</v>
      </c>
      <c r="M30" s="52"/>
      <c r="N30" s="11"/>
    </row>
    <row r="31" spans="1:14" x14ac:dyDescent="0.3">
      <c r="A31" s="9">
        <v>4</v>
      </c>
      <c r="B31" s="50"/>
      <c r="C31" s="50"/>
      <c r="D31" s="50"/>
      <c r="E31" s="50"/>
      <c r="F31" s="50"/>
      <c r="G31" s="50"/>
      <c r="H31" s="50"/>
      <c r="I31" s="5"/>
      <c r="J31" s="18"/>
      <c r="K31" s="18"/>
      <c r="L31" s="52">
        <f t="shared" si="1"/>
        <v>0</v>
      </c>
      <c r="M31" s="52"/>
      <c r="N31" s="11"/>
    </row>
    <row r="32" spans="1:14" x14ac:dyDescent="0.3">
      <c r="A32" s="9">
        <v>5</v>
      </c>
      <c r="B32" s="50"/>
      <c r="C32" s="50"/>
      <c r="D32" s="50"/>
      <c r="E32" s="50"/>
      <c r="F32" s="50"/>
      <c r="G32" s="50"/>
      <c r="H32" s="50"/>
      <c r="I32" s="5"/>
      <c r="J32" s="18"/>
      <c r="K32" s="18"/>
      <c r="L32" s="52">
        <f t="shared" si="1"/>
        <v>0</v>
      </c>
      <c r="M32" s="52"/>
      <c r="N32" s="11"/>
    </row>
    <row r="33" spans="1:14" x14ac:dyDescent="0.3">
      <c r="A33" s="9">
        <v>6</v>
      </c>
      <c r="B33" s="50"/>
      <c r="C33" s="50"/>
      <c r="D33" s="50"/>
      <c r="E33" s="50"/>
      <c r="F33" s="50"/>
      <c r="G33" s="50"/>
      <c r="H33" s="50"/>
      <c r="I33" s="5"/>
      <c r="J33" s="18"/>
      <c r="K33" s="18"/>
      <c r="L33" s="52">
        <f t="shared" si="1"/>
        <v>0</v>
      </c>
      <c r="M33" s="52"/>
      <c r="N33" s="11"/>
    </row>
    <row r="34" spans="1:14" x14ac:dyDescent="0.3">
      <c r="A34" s="9">
        <v>7</v>
      </c>
      <c r="B34" s="53"/>
      <c r="C34" s="53"/>
      <c r="D34" s="53"/>
      <c r="E34" s="53"/>
      <c r="F34" s="53"/>
      <c r="G34" s="53"/>
      <c r="H34" s="53"/>
      <c r="I34" s="14"/>
      <c r="J34" s="20"/>
      <c r="K34" s="20"/>
      <c r="L34" s="52"/>
      <c r="M34" s="52"/>
      <c r="N34" s="15"/>
    </row>
    <row r="35" spans="1:14" x14ac:dyDescent="0.3">
      <c r="A35" s="41" t="s">
        <v>45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2">
        <f>SUM(L25:M34)</f>
        <v>1531000</v>
      </c>
      <c r="M35" s="42"/>
      <c r="N35" s="12"/>
    </row>
    <row r="36" spans="1:14" x14ac:dyDescent="0.3">
      <c r="A36" s="13" t="s">
        <v>16</v>
      </c>
      <c r="B36" s="56" t="s">
        <v>25</v>
      </c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7"/>
    </row>
    <row r="37" spans="1:14" x14ac:dyDescent="0.3">
      <c r="A37" s="7" t="s">
        <v>3</v>
      </c>
      <c r="B37" s="54" t="s">
        <v>7</v>
      </c>
      <c r="C37" s="54"/>
      <c r="D37" s="54"/>
      <c r="E37" s="54"/>
      <c r="F37" s="54" t="s">
        <v>53</v>
      </c>
      <c r="G37" s="54"/>
      <c r="H37" s="54"/>
      <c r="I37" s="1" t="s">
        <v>23</v>
      </c>
      <c r="J37" s="19" t="s">
        <v>17</v>
      </c>
      <c r="K37" s="19" t="s">
        <v>30</v>
      </c>
      <c r="L37" s="54" t="s">
        <v>12</v>
      </c>
      <c r="M37" s="54"/>
      <c r="N37" s="8" t="s">
        <v>11</v>
      </c>
    </row>
    <row r="38" spans="1:14" x14ac:dyDescent="0.3">
      <c r="A38" s="9">
        <v>1</v>
      </c>
      <c r="B38" s="51"/>
      <c r="C38" s="51"/>
      <c r="D38" s="51"/>
      <c r="E38" s="51"/>
      <c r="F38" s="51"/>
      <c r="G38" s="51"/>
      <c r="H38" s="51"/>
      <c r="I38" s="3"/>
      <c r="J38" s="17"/>
      <c r="K38" s="17"/>
      <c r="L38" s="52">
        <f>J38*K38</f>
        <v>0</v>
      </c>
      <c r="M38" s="52"/>
      <c r="N38" s="10"/>
    </row>
    <row r="39" spans="1:14" x14ac:dyDescent="0.3">
      <c r="A39" s="9">
        <v>2</v>
      </c>
      <c r="B39" s="50"/>
      <c r="C39" s="50"/>
      <c r="D39" s="50"/>
      <c r="E39" s="50"/>
      <c r="F39" s="51"/>
      <c r="G39" s="51"/>
      <c r="H39" s="51"/>
      <c r="I39" s="3"/>
      <c r="J39" s="18"/>
      <c r="K39" s="18"/>
      <c r="L39" s="52">
        <f t="shared" ref="L39:L40" si="2">J39*K39</f>
        <v>0</v>
      </c>
      <c r="M39" s="52"/>
      <c r="N39" s="11"/>
    </row>
    <row r="40" spans="1:14" x14ac:dyDescent="0.3">
      <c r="A40" s="9">
        <v>3</v>
      </c>
      <c r="B40" s="53"/>
      <c r="C40" s="53"/>
      <c r="D40" s="53"/>
      <c r="E40" s="53"/>
      <c r="F40" s="53"/>
      <c r="G40" s="53"/>
      <c r="H40" s="53"/>
      <c r="I40" s="14"/>
      <c r="J40" s="20"/>
      <c r="K40" s="20"/>
      <c r="L40" s="52">
        <f t="shared" si="2"/>
        <v>0</v>
      </c>
      <c r="M40" s="52"/>
      <c r="N40" s="15"/>
    </row>
    <row r="41" spans="1:14" x14ac:dyDescent="0.3">
      <c r="A41" s="41" t="s">
        <v>45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2">
        <f>SUM(L38:M40)</f>
        <v>0</v>
      </c>
      <c r="M41" s="42"/>
      <c r="N41" s="12"/>
    </row>
    <row r="42" spans="1:14" ht="5.0999999999999996" customHeight="1" x14ac:dyDescent="0.3">
      <c r="K42" s="24"/>
      <c r="L42" s="24"/>
      <c r="M42" s="25"/>
      <c r="N42" s="24"/>
    </row>
    <row r="43" spans="1:14" ht="21.95" customHeight="1" x14ac:dyDescent="0.3">
      <c r="A43" s="43" t="s">
        <v>51</v>
      </c>
      <c r="B43" s="43"/>
      <c r="C43" s="43"/>
      <c r="D43" s="43"/>
      <c r="E43" s="43"/>
      <c r="F43" s="44">
        <f>L22+L35+L41</f>
        <v>3507000</v>
      </c>
      <c r="G43" s="44"/>
      <c r="H43" s="44"/>
      <c r="I43" s="44"/>
      <c r="J43" s="26"/>
      <c r="K43" s="45"/>
      <c r="L43" s="45"/>
      <c r="M43" s="45"/>
      <c r="N43" s="21"/>
    </row>
    <row r="44" spans="1:14" ht="21.95" customHeight="1" x14ac:dyDescent="0.3">
      <c r="A44" s="46" t="s">
        <v>64</v>
      </c>
      <c r="B44" s="46"/>
      <c r="C44" s="46"/>
      <c r="D44" s="46"/>
      <c r="E44" s="46"/>
      <c r="F44" s="47">
        <f>F43*10%</f>
        <v>350700</v>
      </c>
      <c r="G44" s="48"/>
      <c r="H44" s="48"/>
      <c r="I44" s="48"/>
      <c r="J44" s="27"/>
      <c r="K44" s="28" t="s">
        <v>14</v>
      </c>
      <c r="L44" s="49" t="s">
        <v>40</v>
      </c>
      <c r="M44" s="49"/>
      <c r="N44" s="22"/>
    </row>
    <row r="45" spans="1:14" ht="21.95" customHeight="1" x14ac:dyDescent="0.3">
      <c r="A45" s="33" t="s">
        <v>46</v>
      </c>
      <c r="B45" s="33"/>
      <c r="C45" s="33"/>
      <c r="D45" s="33"/>
      <c r="E45" s="33"/>
      <c r="F45" s="34">
        <f>F43+F44</f>
        <v>3857700</v>
      </c>
      <c r="G45" s="35"/>
      <c r="H45" s="35"/>
      <c r="I45" s="35"/>
      <c r="J45" s="29"/>
      <c r="K45" s="30" t="s">
        <v>5</v>
      </c>
      <c r="L45" s="36"/>
      <c r="M45" s="36"/>
      <c r="N45" s="23" t="s">
        <v>9</v>
      </c>
    </row>
    <row r="46" spans="1:14" ht="5.0999999999999996" customHeight="1" x14ac:dyDescent="0.3"/>
    <row r="47" spans="1:14" ht="20.100000000000001" customHeight="1" x14ac:dyDescent="0.3">
      <c r="A47" s="37" t="s">
        <v>10</v>
      </c>
      <c r="B47" s="38"/>
      <c r="C47" s="39" t="s">
        <v>69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</row>
  </sheetData>
  <mergeCells count="123">
    <mergeCell ref="A45:E45"/>
    <mergeCell ref="F45:I45"/>
    <mergeCell ref="L45:M45"/>
    <mergeCell ref="A47:B47"/>
    <mergeCell ref="C47:N47"/>
    <mergeCell ref="A41:K41"/>
    <mergeCell ref="L41:M41"/>
    <mergeCell ref="A43:E43"/>
    <mergeCell ref="F43:I43"/>
    <mergeCell ref="K43:M43"/>
    <mergeCell ref="A44:E44"/>
    <mergeCell ref="F44:I44"/>
    <mergeCell ref="L44:M44"/>
    <mergeCell ref="B39:E39"/>
    <mergeCell ref="F39:H39"/>
    <mergeCell ref="L39:M39"/>
    <mergeCell ref="B40:E40"/>
    <mergeCell ref="F40:H40"/>
    <mergeCell ref="L40:M40"/>
    <mergeCell ref="B36:N36"/>
    <mergeCell ref="B37:E37"/>
    <mergeCell ref="F37:H37"/>
    <mergeCell ref="L37:M37"/>
    <mergeCell ref="B38:E38"/>
    <mergeCell ref="F38:H38"/>
    <mergeCell ref="L38:M38"/>
    <mergeCell ref="B34:E34"/>
    <mergeCell ref="F34:H34"/>
    <mergeCell ref="L34:M34"/>
    <mergeCell ref="A35:K35"/>
    <mergeCell ref="L35:M35"/>
    <mergeCell ref="B32:E32"/>
    <mergeCell ref="F32:H32"/>
    <mergeCell ref="L32:M32"/>
    <mergeCell ref="B33:E33"/>
    <mergeCell ref="F33:H33"/>
    <mergeCell ref="L33:M33"/>
    <mergeCell ref="B31:E31"/>
    <mergeCell ref="F31:H31"/>
    <mergeCell ref="L31:M31"/>
    <mergeCell ref="B25:E25"/>
    <mergeCell ref="F25:H25"/>
    <mergeCell ref="L25:M25"/>
    <mergeCell ref="B26:E26"/>
    <mergeCell ref="F26:H26"/>
    <mergeCell ref="L26:M26"/>
    <mergeCell ref="B28:E28"/>
    <mergeCell ref="F28:H28"/>
    <mergeCell ref="L28:M28"/>
    <mergeCell ref="B29:E29"/>
    <mergeCell ref="F29:H29"/>
    <mergeCell ref="L29:M29"/>
    <mergeCell ref="B30:E30"/>
    <mergeCell ref="F30:H30"/>
    <mergeCell ref="L30:M30"/>
    <mergeCell ref="A22:K22"/>
    <mergeCell ref="L22:M22"/>
    <mergeCell ref="B23:N23"/>
    <mergeCell ref="B24:E24"/>
    <mergeCell ref="F24:H24"/>
    <mergeCell ref="L24:M24"/>
    <mergeCell ref="B27:E27"/>
    <mergeCell ref="F27:H27"/>
    <mergeCell ref="L27:M27"/>
    <mergeCell ref="B13:E13"/>
    <mergeCell ref="F13:H13"/>
    <mergeCell ref="L13:M13"/>
    <mergeCell ref="B14:E14"/>
    <mergeCell ref="F14:H14"/>
    <mergeCell ref="L14:M14"/>
    <mergeCell ref="B10:N10"/>
    <mergeCell ref="B21:E21"/>
    <mergeCell ref="F21:H21"/>
    <mergeCell ref="L21:M21"/>
    <mergeCell ref="B19:E19"/>
    <mergeCell ref="F19:H19"/>
    <mergeCell ref="L19:M19"/>
    <mergeCell ref="B20:E20"/>
    <mergeCell ref="F20:H20"/>
    <mergeCell ref="L20:M20"/>
    <mergeCell ref="B17:E17"/>
    <mergeCell ref="F17:H17"/>
    <mergeCell ref="L17:M17"/>
    <mergeCell ref="B18:E18"/>
    <mergeCell ref="F18:H18"/>
    <mergeCell ref="L18:M18"/>
    <mergeCell ref="B15:E15"/>
    <mergeCell ref="F15:H15"/>
    <mergeCell ref="L15:M15"/>
    <mergeCell ref="B16:E16"/>
    <mergeCell ref="F16:H16"/>
    <mergeCell ref="L16:M16"/>
    <mergeCell ref="A1:N1"/>
    <mergeCell ref="A2:B2"/>
    <mergeCell ref="C2:G2"/>
    <mergeCell ref="H2:H6"/>
    <mergeCell ref="I2:J2"/>
    <mergeCell ref="A3:B3"/>
    <mergeCell ref="C3:G3"/>
    <mergeCell ref="I3:J3"/>
    <mergeCell ref="K6:N6"/>
    <mergeCell ref="M3:N3"/>
    <mergeCell ref="A4:B4"/>
    <mergeCell ref="C4:G4"/>
    <mergeCell ref="I4:J4"/>
    <mergeCell ref="K4:N4"/>
    <mergeCell ref="A5:B6"/>
    <mergeCell ref="C5:G6"/>
    <mergeCell ref="I5:J5"/>
    <mergeCell ref="M5:N5"/>
    <mergeCell ref="I6:J6"/>
    <mergeCell ref="B11:E11"/>
    <mergeCell ref="F11:H11"/>
    <mergeCell ref="L11:M11"/>
    <mergeCell ref="B12:E12"/>
    <mergeCell ref="F12:H12"/>
    <mergeCell ref="L12:M12"/>
    <mergeCell ref="K2:N2"/>
    <mergeCell ref="A7:N7"/>
    <mergeCell ref="A8:B8"/>
    <mergeCell ref="C8:I8"/>
    <mergeCell ref="J8:N8"/>
    <mergeCell ref="A9:N9"/>
  </mergeCells>
  <phoneticPr fontId="9" type="noConversion"/>
  <pageMargins left="0" right="0" top="0" bottom="0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zoomScaleSheetLayoutView="75" workbookViewId="0">
      <selection activeCell="J23" sqref="J23"/>
    </sheetView>
  </sheetViews>
  <sheetFormatPr defaultColWidth="9" defaultRowHeight="16.5" x14ac:dyDescent="0.3"/>
  <sheetData/>
  <phoneticPr fontId="9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싱글</vt:lpstr>
      <vt:lpstr>멀티</vt:lpstr>
      <vt:lpstr>Sheet1</vt:lpstr>
      <vt:lpstr>멀티!Print_Area</vt:lpstr>
      <vt:lpstr>싱글!Print_Area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수원 안</cp:lastModifiedBy>
  <cp:revision>2</cp:revision>
  <cp:lastPrinted>2026-05-15T10:18:57Z</cp:lastPrinted>
  <dcterms:created xsi:type="dcterms:W3CDTF">2015-06-05T18:19:34Z</dcterms:created>
  <dcterms:modified xsi:type="dcterms:W3CDTF">2026-05-15T10:19:10Z</dcterms:modified>
  <cp:version>0906.0200.01</cp:version>
</cp:coreProperties>
</file>